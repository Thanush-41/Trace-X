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s" sheetId="1" state="visible" r:id="rId1"/>
    <sheet name="Tasks" sheetId="2" state="visible" r:id="rId2"/>
    <sheet name="Requirements" sheetId="3" state="visible" r:id="rId3"/>
  </sheets>
  <definedNames>
    <definedName name="_xlnm._FilterDatabase" localSheetId="0" hidden="1">'Sprints'!$A$1:$J$9</definedName>
    <definedName name="_xlnm._FilterDatabase" localSheetId="1" hidden="1">'Tasks'!$A$1:$I$40</definedName>
    <definedName name="_xlnm._FilterDatabase" localSheetId="2" hidden="1">'Requirements'!$A$1:$F$21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6" customWidth="1" min="3" max="3"/>
    <col width="13" customWidth="1" min="4" max="4"/>
    <col width="8" customWidth="1" min="5" max="5"/>
    <col width="11" customWidth="1" min="6" max="6"/>
    <col width="13" customWidth="1" min="7" max="7"/>
    <col width="14" customWidth="1" min="8" max="8"/>
    <col width="12" customWidth="1" min="9" max="9"/>
    <col width="40" customWidth="1" min="10" max="10"/>
  </cols>
  <sheetData>
    <row r="1">
      <c r="A1" s="1" t="inlineStr">
        <is>
          <t>Sprint</t>
        </is>
      </c>
      <c r="B1" s="1" t="inlineStr">
        <is>
          <t>Goal</t>
        </is>
      </c>
      <c r="C1" s="1" t="inlineStr">
        <is>
          <t>Plan sections</t>
        </is>
      </c>
      <c r="D1" s="1" t="inlineStr">
        <is>
          <t>Timebox (min)</t>
        </is>
      </c>
      <c r="E1" s="1" t="inlineStr">
        <is>
          <t>Tasks</t>
        </is>
      </c>
      <c r="F1" s="1" t="inlineStr">
        <is>
          <t>Tasks done</t>
        </is>
      </c>
      <c r="G1" s="1" t="inlineStr">
        <is>
          <t>Status</t>
        </is>
      </c>
      <c r="H1" s="1" t="inlineStr">
        <is>
          <t>Completed on</t>
        </is>
      </c>
      <c r="I1" s="1" t="inlineStr">
        <is>
          <t>Commit</t>
        </is>
      </c>
      <c r="J1" s="1" t="inlineStr">
        <is>
          <t>Notes</t>
        </is>
      </c>
    </row>
    <row r="2">
      <c r="A2" s="2" t="inlineStr">
        <is>
          <t>S0</t>
        </is>
      </c>
      <c r="B2" s="2" t="inlineStr">
        <is>
          <t>Repo, plan and tracker</t>
        </is>
      </c>
      <c r="C2" s="2" t="inlineStr">
        <is>
          <t>PLAN.md</t>
        </is>
      </c>
      <c r="D2" s="2" t="n">
        <v>10</v>
      </c>
      <c r="E2" s="2">
        <f>COUNTIF(Tasks!$B:$B,A2)</f>
        <v/>
      </c>
      <c r="F2" s="2">
        <f>COUNTIFS(Tasks!$B:$B,A2,Tasks!$E:$E,"Done")</f>
        <v/>
      </c>
      <c r="G2" s="2" t="inlineStr">
        <is>
          <t>Done</t>
        </is>
      </c>
      <c r="H2" s="2" t="inlineStr">
        <is>
          <t>2026-10-31</t>
        </is>
      </c>
      <c r="I2" s="2" t="inlineStr">
        <is>
          <t>3bc9253</t>
        </is>
      </c>
      <c r="J2" s="2" t="n"/>
    </row>
    <row r="3">
      <c r="A3" s="2" t="inlineStr">
        <is>
          <t>S1</t>
        </is>
      </c>
      <c r="B3" s="2" t="inlineStr">
        <is>
          <t>Scaffold: Next.js, DB schema, triggers, policy, utilities</t>
        </is>
      </c>
      <c r="C3" s="2" t="inlineStr">
        <is>
          <t>§2, §3, §5.1</t>
        </is>
      </c>
      <c r="D3" s="2" t="n">
        <v>20</v>
      </c>
      <c r="E3" s="2">
        <f>COUNTIF(Tasks!$B:$B,A3)</f>
        <v/>
      </c>
      <c r="F3" s="2">
        <f>COUNTIFS(Tasks!$B:$B,A3,Tasks!$E:$E,"Done")</f>
        <v/>
      </c>
      <c r="G3" s="2" t="inlineStr">
        <is>
          <t>Done</t>
        </is>
      </c>
      <c r="H3" s="2" t="inlineStr">
        <is>
          <t>2026-10-31</t>
        </is>
      </c>
      <c r="I3" s="2" t="inlineStr">
        <is>
          <t>f98e054</t>
        </is>
      </c>
      <c r="J3" s="2" t="inlineStr">
        <is>
          <t>15 tests pass; build OK</t>
        </is>
      </c>
    </row>
    <row r="4">
      <c r="A4" s="2" t="inlineStr">
        <is>
          <t>S2</t>
        </is>
      </c>
      <c r="B4" s="2" t="inlineStr">
        <is>
          <t>Synthetic data generator + committed seeds 1–3</t>
        </is>
      </c>
      <c r="C4" s="2" t="inlineStr">
        <is>
          <t>§8</t>
        </is>
      </c>
      <c r="D4" s="2" t="n">
        <v>25</v>
      </c>
      <c r="E4" s="2">
        <f>COUNTIF(Tasks!$B:$B,A4)</f>
        <v/>
      </c>
      <c r="F4" s="2">
        <f>COUNTIFS(Tasks!$B:$B,A4,Tasks!$E:$E,"Done")</f>
        <v/>
      </c>
      <c r="G4" s="2" t="inlineStr">
        <is>
          <t>Done</t>
        </is>
      </c>
      <c r="H4" s="2" t="inlineStr">
        <is>
          <t>2026-10-31</t>
        </is>
      </c>
      <c r="I4" s="2" t="inlineStr">
        <is>
          <t>ddd79db</t>
        </is>
      </c>
      <c r="J4" s="2" t="inlineStr">
        <is>
          <t>Seeds 1–3: 320 customers, ~4.5k txns, ~4k logins, 124 loans, 18 truth items each; deterministic</t>
        </is>
      </c>
    </row>
    <row r="5">
      <c r="A5" s="2" t="inlineStr">
        <is>
          <t>S3</t>
        </is>
      </c>
      <c r="B5" s="2" t="inlineStr">
        <is>
          <t>Ingestion pipeline: parse, aliases, validation, buckets, APIs</t>
        </is>
      </c>
      <c r="C5" s="2" t="inlineStr">
        <is>
          <t>§4, §6</t>
        </is>
      </c>
      <c r="D5" s="2" t="n">
        <v>25</v>
      </c>
      <c r="E5" s="2">
        <f>COUNTIF(Tasks!$B:$B,A5)</f>
        <v/>
      </c>
      <c r="F5" s="2">
        <f>COUNTIFS(Tasks!$B:$B,A5,Tasks!$E:$E,"Done")</f>
        <v/>
      </c>
      <c r="G5" s="2" t="inlineStr">
        <is>
          <t>Done</t>
        </is>
      </c>
      <c r="H5" s="2" t="inlineStr">
        <is>
          <t>2026-10-31</t>
        </is>
      </c>
      <c r="I5" s="2" t="inlineStr">
        <is>
          <t>eba6588</t>
        </is>
      </c>
      <c r="J5" s="2" t="inlineStr">
        <is>
          <t>23 tests pass; API smoke-tested on next start</t>
        </is>
      </c>
    </row>
    <row r="6">
      <c r="A6" s="2" t="inlineStr">
        <is>
          <t>S4</t>
        </is>
      </c>
      <c r="B6" s="2" t="inlineStr">
        <is>
          <t>Detection engine FD-01/02/03/05/06, scoring, cases + tests</t>
        </is>
      </c>
      <c r="C6" s="2" t="inlineStr">
        <is>
          <t>§5, §9</t>
        </is>
      </c>
      <c r="D6" s="2" t="n">
        <v>50</v>
      </c>
      <c r="E6" s="2">
        <f>COUNTIF(Tasks!$B:$B,A6)</f>
        <v/>
      </c>
      <c r="F6" s="2">
        <f>COUNTIFS(Tasks!$B:$B,A6,Tasks!$E:$E,"Done")</f>
        <v/>
      </c>
      <c r="G6" s="2" t="inlineStr">
        <is>
          <t>Done</t>
        </is>
      </c>
      <c r="H6" s="2" t="inlineStr">
        <is>
          <t>2026-10-31</t>
        </is>
      </c>
      <c r="I6" s="2" t="inlineStr">
        <is>
          <t>b5d47e7</t>
        </is>
      </c>
      <c r="J6" s="2" t="inlineStr">
        <is>
          <t>39 tests; 11/11 fraud, 7/7 lookalikes on 3 seeds; precision 79–92%; ~70 ms/run</t>
        </is>
      </c>
    </row>
    <row r="7">
      <c r="A7" s="2" t="inlineStr">
        <is>
          <t>S5</t>
        </is>
      </c>
      <c r="B7" s="2" t="inlineStr">
        <is>
          <t>UI part 1: Dashboard, Ingest, Alerts list + detail</t>
        </is>
      </c>
      <c r="C7" s="2" t="inlineStr">
        <is>
          <t>§7.1–7.4</t>
        </is>
      </c>
      <c r="D7" s="2" t="n">
        <v>30</v>
      </c>
      <c r="E7" s="2">
        <f>COUNTIF(Tasks!$B:$B,A7)</f>
        <v/>
      </c>
      <c r="F7" s="2">
        <f>COUNTIFS(Tasks!$B:$B,A7,Tasks!$E:$E,"Done")</f>
        <v/>
      </c>
      <c r="G7" s="2" t="inlineStr">
        <is>
          <t>Done</t>
        </is>
      </c>
      <c r="H7" s="2" t="inlineStr">
        <is>
          <t>2026-10-31</t>
        </is>
      </c>
      <c r="I7" s="2" t="inlineStr">
        <is>
          <t>ec2d613</t>
        </is>
      </c>
      <c r="J7" s="2" t="inlineStr">
        <is>
          <t>Screens checked in Playwright at 1440/390 px, light + dark; no overflow</t>
        </is>
      </c>
    </row>
    <row r="8">
      <c r="A8" s="2" t="inlineStr">
        <is>
          <t>S6</t>
        </is>
      </c>
      <c r="B8" s="2" t="inlineStr">
        <is>
          <t>UI part 2: Cases + decisions, Customer timeline, Rules, Evaluation</t>
        </is>
      </c>
      <c r="C8" s="2" t="inlineStr">
        <is>
          <t>§7.5–7.8</t>
        </is>
      </c>
      <c r="D8" s="2" t="n">
        <v>30</v>
      </c>
      <c r="E8" s="2">
        <f>COUNTIF(Tasks!$B:$B,A8)</f>
        <v/>
      </c>
      <c r="F8" s="2">
        <f>COUNTIFS(Tasks!$B:$B,A8,Tasks!$E:$E,"Done")</f>
        <v/>
      </c>
      <c r="G8" s="2" t="inlineStr">
        <is>
          <t>Done</t>
        </is>
      </c>
      <c r="H8" s="2" t="inlineStr">
        <is>
          <t>2026-10-31</t>
        </is>
      </c>
      <c r="I8" s="2" t="inlineStr"/>
      <c r="J8" s="2" t="inlineStr">
        <is>
          <t>45 tests; browser E2E: decision persists after reload; evaluation 11/11, 7/7 on seed 3</t>
        </is>
      </c>
    </row>
    <row r="9">
      <c r="A9" s="2" t="inlineStr">
        <is>
          <t>S7</t>
        </is>
      </c>
      <c r="B9" s="2" t="inlineStr">
        <is>
          <t>Hardening, README/limitations, deploy, demo rehearsal</t>
        </is>
      </c>
      <c r="C9" s="2" t="inlineStr">
        <is>
          <t>§10, §11</t>
        </is>
      </c>
      <c r="D9" s="2" t="n">
        <v>20</v>
      </c>
      <c r="E9" s="2">
        <f>COUNTIF(Tasks!$B:$B,A9)</f>
        <v/>
      </c>
      <c r="F9" s="2">
        <f>COUNTIFS(Tasks!$B:$B,A9,Tasks!$E:$E,"Done")</f>
        <v/>
      </c>
      <c r="G9" s="2" t="inlineStr">
        <is>
          <t>Not started</t>
        </is>
      </c>
      <c r="H9" s="2" t="n"/>
      <c r="I9" s="2" t="n"/>
      <c r="J9" s="2" t="n"/>
    </row>
    <row r="10">
      <c r="A10" s="3" t="inlineStr">
        <is>
          <t>Total</t>
        </is>
      </c>
      <c r="D10">
        <f>SUM(D2:D9)</f>
        <v/>
      </c>
      <c r="E10">
        <f>SUM(E2:E9)</f>
        <v/>
      </c>
      <c r="F10">
        <f>SUM(F2:F9)</f>
        <v/>
      </c>
    </row>
  </sheetData>
  <autoFilter ref="A1:J9"/>
  <conditionalFormatting sqref="A2:J9">
    <cfRule type="expression" priority="1" dxfId="0">
      <formula>$G2="Done"</formula>
    </cfRule>
    <cfRule type="expression" priority="2" dxfId="1">
      <formula>$G2="In progress"</formula>
    </cfRule>
    <cfRule type="expression" priority="3" dxfId="2">
      <formula>$G2="Blocked"</formula>
    </cfRule>
    <cfRule type="expression" priority="4" dxfId="3">
      <formula>$G2="Cut"</formula>
    </cfRule>
  </conditionalFormatting>
  <dataValidations count="1">
    <dataValidation sqref="G2:G9" showDropDown="0" showInputMessage="0" showErrorMessage="0" allowBlank="0" type="list">
      <formula1>"Not started,In progress,Done,Blocked,Cut"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60" customWidth="1" min="3" max="3"/>
    <col width="38" customWidth="1" min="4" max="4"/>
    <col width="13" customWidth="1" min="5" max="5"/>
    <col width="12" customWidth="1" min="6" max="6"/>
    <col width="14" customWidth="1" min="7" max="7"/>
    <col width="12" customWidth="1" min="8" max="8"/>
    <col width="40" customWidth="1" min="9" max="9"/>
  </cols>
  <sheetData>
    <row r="1">
      <c r="A1" s="1" t="inlineStr">
        <is>
          <t>ID</t>
        </is>
      </c>
      <c r="B1" s="1" t="inlineStr">
        <is>
          <t>Sprint</t>
        </is>
      </c>
      <c r="C1" s="1" t="inlineStr">
        <is>
          <t>Task</t>
        </is>
      </c>
      <c r="D1" s="1" t="inlineStr">
        <is>
          <t>Done when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Completed on</t>
        </is>
      </c>
      <c r="H1" s="1" t="inlineStr">
        <is>
          <t>Commit</t>
        </is>
      </c>
      <c r="I1" s="1" t="inlineStr">
        <is>
          <t>Notes</t>
        </is>
      </c>
    </row>
    <row r="2">
      <c r="A2" s="2" t="inlineStr">
        <is>
          <t>T0.1</t>
        </is>
      </c>
      <c r="B2" s="2" t="inlineStr">
        <is>
          <t>S0</t>
        </is>
      </c>
      <c r="C2" s="2" t="inlineStr">
        <is>
          <t>git init, first commit, push to GitHub</t>
        </is>
      </c>
      <c r="D2" s="2" t="inlineStr">
        <is>
          <t>main exists on origin</t>
        </is>
      </c>
      <c r="E2" s="2" t="inlineStr">
        <is>
          <t>Done</t>
        </is>
      </c>
      <c r="F2" s="2" t="n"/>
      <c r="G2" s="2" t="inlineStr">
        <is>
          <t>2026-10-31</t>
        </is>
      </c>
      <c r="H2" s="2" t="inlineStr">
        <is>
          <t>first commit</t>
        </is>
      </c>
      <c r="I2" s="2" t="n"/>
    </row>
    <row r="3">
      <c r="A3" s="2" t="inlineStr">
        <is>
          <t>T0.2</t>
        </is>
      </c>
      <c r="B3" s="2" t="inlineStr">
        <is>
          <t>S0</t>
        </is>
      </c>
      <c r="C3" s="2" t="inlineStr">
        <is>
          <t>Commit PLAN.md and SPRINTS.xlsx tracker</t>
        </is>
      </c>
      <c r="D3" s="2" t="inlineStr">
        <is>
          <t>Both files on main</t>
        </is>
      </c>
      <c r="E3" s="2" t="inlineStr">
        <is>
          <t>Done</t>
        </is>
      </c>
      <c r="F3" s="2" t="n"/>
      <c r="G3" s="2" t="inlineStr">
        <is>
          <t>2026-10-31</t>
        </is>
      </c>
      <c r="H3" s="2" t="n"/>
      <c r="I3" s="2" t="n"/>
    </row>
    <row r="4">
      <c r="A4" s="2" t="inlineStr">
        <is>
          <t>T1.1</t>
        </is>
      </c>
      <c r="B4" s="2" t="inlineStr">
        <is>
          <t>S1</t>
        </is>
      </c>
      <c r="C4" s="2" t="inlineStr">
        <is>
          <t>create-next-app (TS, App Router, Tailwind), .gitignore</t>
        </is>
      </c>
      <c r="D4" s="2" t="inlineStr">
        <is>
          <t>npm run build passes</t>
        </is>
      </c>
      <c r="E4" s="2" t="inlineStr">
        <is>
          <t>Done</t>
        </is>
      </c>
      <c r="F4" s="2" t="n"/>
      <c r="G4" s="2" t="inlineStr">
        <is>
          <t>2026-10-31</t>
        </is>
      </c>
      <c r="H4" s="2" t="n"/>
      <c r="I4" s="2" t="n"/>
    </row>
    <row r="5">
      <c r="A5" s="2" t="inlineStr">
        <is>
          <t>T1.2</t>
        </is>
      </c>
      <c r="B5" s="2" t="inlineStr">
        <is>
          <t>S1</t>
        </is>
      </c>
      <c r="C5" s="2" t="inlineStr">
        <is>
          <t>Drizzle + libSQL client; schema for source, bookkeeping, detection and case tables</t>
        </is>
      </c>
      <c r="D5" s="2" t="inlineStr">
        <is>
          <t>Tables created on a fresh DB</t>
        </is>
      </c>
      <c r="E5" s="2" t="inlineStr">
        <is>
          <t>Done</t>
        </is>
      </c>
      <c r="F5" s="2" t="n"/>
      <c r="G5" s="2" t="inlineStr">
        <is>
          <t>2026-10-31</t>
        </is>
      </c>
      <c r="H5" s="2" t="inlineStr"/>
      <c r="I5" s="2" t="inlineStr">
        <is>
          <t>Raw SQL via @libsql/client instead of Drizzle</t>
        </is>
      </c>
    </row>
    <row r="6">
      <c r="A6" s="2" t="inlineStr">
        <is>
          <t>T1.3</t>
        </is>
      </c>
      <c r="B6" s="2" t="inlineStr">
        <is>
          <t>S1</t>
        </is>
      </c>
      <c r="C6" s="2" t="inlineStr">
        <is>
          <t>Immutability triggers on alerts and case_decisions</t>
        </is>
      </c>
      <c r="D6" s="2" t="inlineStr">
        <is>
          <t>UPDATE alerts aborts</t>
        </is>
      </c>
      <c r="E6" s="2" t="inlineStr">
        <is>
          <t>Done</t>
        </is>
      </c>
      <c r="F6" s="2" t="n"/>
      <c r="G6" s="2" t="inlineStr">
        <is>
          <t>2026-10-31</t>
        </is>
      </c>
      <c r="H6" s="2" t="n"/>
      <c r="I6" s="2" t="n"/>
    </row>
    <row r="7">
      <c r="A7" s="2" t="inlineStr">
        <is>
          <t>T1.4</t>
        </is>
      </c>
      <c r="B7" s="2" t="inlineStr">
        <is>
          <t>S1</t>
        </is>
      </c>
      <c r="C7" s="2" t="inlineStr">
        <is>
          <t>config/policy.json with all weights and thresholds</t>
        </is>
      </c>
      <c r="D7" s="2" t="inlineStr">
        <is>
          <t>Loaded and typed by lib/policy.ts</t>
        </is>
      </c>
      <c r="E7" s="2" t="inlineStr">
        <is>
          <t>Done</t>
        </is>
      </c>
      <c r="F7" s="2" t="n"/>
      <c r="G7" s="2" t="inlineStr">
        <is>
          <t>2026-10-31</t>
        </is>
      </c>
      <c r="H7" s="2" t="n"/>
      <c r="I7" s="2" t="n"/>
    </row>
    <row r="8">
      <c r="A8" s="2" t="inlineStr">
        <is>
          <t>T1.5</t>
        </is>
      </c>
      <c r="B8" s="2" t="inlineStr">
        <is>
          <t>S1</t>
        </is>
      </c>
      <c r="C8" s="2" t="inlineStr">
        <is>
          <t>Utilities: normalize, hash, stats (median/MAD/p95), union-find</t>
        </is>
      </c>
      <c r="D8" s="2" t="inlineStr">
        <is>
          <t>Unit tests pass</t>
        </is>
      </c>
      <c r="E8" s="2" t="inlineStr">
        <is>
          <t>Done</t>
        </is>
      </c>
      <c r="F8" s="2" t="n"/>
      <c r="G8" s="2" t="inlineStr">
        <is>
          <t>2026-10-31</t>
        </is>
      </c>
      <c r="H8" s="2" t="n"/>
      <c r="I8" s="2" t="n"/>
    </row>
    <row r="9">
      <c r="A9" s="2" t="inlineStr">
        <is>
          <t>T2.1</t>
        </is>
      </c>
      <c r="B9" s="2" t="inlineStr">
        <is>
          <t>S2</t>
        </is>
      </c>
      <c r="C9" s="2" t="inlineStr">
        <is>
          <t>Seeded PRNG + background population (customers, accounts, txns, logins, loans)</t>
        </is>
      </c>
      <c r="D9" s="2" t="inlineStr">
        <is>
          <t>Deterministic output per seed</t>
        </is>
      </c>
      <c r="E9" s="2" t="inlineStr">
        <is>
          <t>Done</t>
        </is>
      </c>
      <c r="F9" s="2" t="n"/>
      <c r="G9" s="2" t="inlineStr">
        <is>
          <t>2026-10-31</t>
        </is>
      </c>
      <c r="H9" s="2" t="n"/>
      <c r="I9" s="2" t="n"/>
    </row>
    <row r="10">
      <c r="A10" s="2" t="inlineStr">
        <is>
          <t>T2.2</t>
        </is>
      </c>
      <c r="B10" s="2" t="inlineStr">
        <is>
          <t>S2</t>
        </is>
      </c>
      <c r="C10" s="2" t="inlineStr">
        <is>
          <t>Planted fraud scenarios S1–S6</t>
        </is>
      </c>
      <c r="D10" s="2" t="inlineStr">
        <is>
          <t>Present in ground_truth.json</t>
        </is>
      </c>
      <c r="E10" s="2" t="inlineStr">
        <is>
          <t>Done</t>
        </is>
      </c>
      <c r="F10" s="2" t="n"/>
      <c r="G10" s="2" t="inlineStr">
        <is>
          <t>2026-10-31</t>
        </is>
      </c>
      <c r="H10" s="2" t="n"/>
      <c r="I10" s="2" t="n"/>
    </row>
    <row r="11">
      <c r="A11" s="2" t="inlineStr">
        <is>
          <t>T2.3</t>
        </is>
      </c>
      <c r="B11" s="2" t="inlineStr">
        <is>
          <t>S2</t>
        </is>
      </c>
      <c r="C11" s="2" t="inlineStr">
        <is>
          <t>Planted lookalikes L1–L4</t>
        </is>
      </c>
      <c r="D11" s="2" t="inlineStr">
        <is>
          <t>Present in ground_truth.json</t>
        </is>
      </c>
      <c r="E11" s="2" t="inlineStr">
        <is>
          <t>Done</t>
        </is>
      </c>
      <c r="F11" s="2" t="n"/>
      <c r="G11" s="2" t="inlineStr">
        <is>
          <t>2026-10-31</t>
        </is>
      </c>
      <c r="H11" s="2" t="n"/>
      <c r="I11" s="2" t="n"/>
    </row>
    <row r="12">
      <c r="A12" s="2" t="inlineStr">
        <is>
          <t>T2.4</t>
        </is>
      </c>
      <c r="B12" s="2" t="inlineStr">
        <is>
          <t>S2</t>
        </is>
      </c>
      <c r="C12" s="2" t="inlineStr">
        <is>
          <t>Outputs: CSV ×5, XLSX, JSON, errors file, alias-header file, ground truth</t>
        </is>
      </c>
      <c r="D12" s="2" t="inlineStr">
        <is>
          <t>Seeds 1–3 committed</t>
        </is>
      </c>
      <c r="E12" s="2" t="inlineStr">
        <is>
          <t>Done</t>
        </is>
      </c>
      <c r="F12" s="2" t="n"/>
      <c r="G12" s="2" t="inlineStr">
        <is>
          <t>2026-10-31</t>
        </is>
      </c>
      <c r="H12" s="2" t="n"/>
      <c r="I12" s="2" t="n"/>
    </row>
    <row r="13">
      <c r="A13" s="2" t="inlineStr">
        <is>
          <t>T3.1</t>
        </is>
      </c>
      <c r="B13" s="2" t="inlineStr">
        <is>
          <t>S3</t>
        </is>
      </c>
      <c r="C13" s="2" t="inlineStr">
        <is>
          <t>Parsers: CSV, XLSX (multi-sheet), JSON (array or keyed)</t>
        </is>
      </c>
      <c r="D13" s="2" t="inlineStr">
        <is>
          <t>Same seed → same rows in all 3 formats</t>
        </is>
      </c>
      <c r="E13" s="2" t="inlineStr">
        <is>
          <t>Done</t>
        </is>
      </c>
      <c r="F13" s="2" t="n"/>
      <c r="G13" s="2" t="inlineStr">
        <is>
          <t>2026-10-31</t>
        </is>
      </c>
      <c r="H13" s="2" t="n"/>
      <c r="I13" s="2" t="n"/>
    </row>
    <row r="14">
      <c r="A14" s="2" t="inlineStr">
        <is>
          <t>T3.2</t>
        </is>
      </c>
      <c r="B14" s="2" t="inlineStr">
        <is>
          <t>S3</t>
        </is>
      </c>
      <c r="C14" s="2" t="inlineStr">
        <is>
          <t>Header aliases + dataset type detection + override</t>
        </is>
      </c>
      <c r="D14" s="2" t="inlineStr">
        <is>
          <t>Alias file maps correctly</t>
        </is>
      </c>
      <c r="E14" s="2" t="inlineStr">
        <is>
          <t>Done</t>
        </is>
      </c>
      <c r="F14" s="2" t="n"/>
      <c r="G14" s="2" t="inlineStr">
        <is>
          <t>2026-10-31</t>
        </is>
      </c>
      <c r="H14" s="2" t="n"/>
      <c r="I14" s="2" t="n"/>
    </row>
    <row r="15">
      <c r="A15" s="2" t="inlineStr">
        <is>
          <t>T3.3</t>
        </is>
      </c>
      <c r="B15" s="2" t="inlineStr">
        <is>
          <t>S3</t>
        </is>
      </c>
      <c r="C15" s="2" t="inlineStr">
        <is>
          <t>zod row validation + value normalisation</t>
        </is>
      </c>
      <c r="D15" s="2" t="inlineStr">
        <is>
          <t>Bad rows report field + message</t>
        </is>
      </c>
      <c r="E15" s="2" t="inlineStr">
        <is>
          <t>Done</t>
        </is>
      </c>
      <c r="F15" s="2" t="n"/>
      <c r="G15" s="2" t="inlineStr">
        <is>
          <t>2026-10-31</t>
        </is>
      </c>
      <c r="H15" s="2" t="inlineStr"/>
      <c r="I15" s="2" t="inlineStr">
        <is>
          <t>Explicit field validators (clear per-field messages); zod for API bodies</t>
        </is>
      </c>
    </row>
    <row r="16">
      <c r="A16" s="2" t="inlineStr">
        <is>
          <t>T3.4</t>
        </is>
      </c>
      <c r="B16" s="2" t="inlineStr">
        <is>
          <t>S3</t>
        </is>
      </c>
      <c r="C16" s="2" t="inlineStr">
        <is>
          <t>Buckets: accepted / rejected / duplicate / warning; conflict detection</t>
        </is>
      </c>
      <c r="D16" s="2" t="inlineStr">
        <is>
          <t>total = sum of buckets</t>
        </is>
      </c>
      <c r="E16" s="2" t="inlineStr">
        <is>
          <t>Done</t>
        </is>
      </c>
      <c r="F16" s="2" t="n"/>
      <c r="G16" s="2" t="inlineStr">
        <is>
          <t>2026-10-31</t>
        </is>
      </c>
      <c r="H16" s="2" t="n"/>
      <c r="I16" s="2" t="n"/>
    </row>
    <row r="17">
      <c r="A17" s="2" t="inlineStr">
        <is>
          <t>T3.5</t>
        </is>
      </c>
      <c r="B17" s="2" t="inlineStr">
        <is>
          <t>S3</t>
        </is>
      </c>
      <c r="C17" s="2" t="inlineStr">
        <is>
          <t>APIs: /api/ingest, /api/samples, /api/samples/load, /api/batches, errors.csv</t>
        </is>
      </c>
      <c r="D17" s="2" t="inlineStr">
        <is>
          <t>Ingestion tests pass</t>
        </is>
      </c>
      <c r="E17" s="2" t="inlineStr">
        <is>
          <t>Done</t>
        </is>
      </c>
      <c r="F17" s="2" t="n"/>
      <c r="G17" s="2" t="inlineStr">
        <is>
          <t>2026-10-31</t>
        </is>
      </c>
      <c r="H17" s="2" t="n"/>
      <c r="I17" s="2" t="n"/>
    </row>
    <row r="18">
      <c r="A18" s="2" t="inlineStr">
        <is>
          <t>T4.1</t>
        </is>
      </c>
      <c r="B18" s="2" t="inlineStr">
        <is>
          <t>S4</t>
        </is>
      </c>
      <c r="C18" s="2" t="inlineStr">
        <is>
          <t>DetectionContext: indexes, sorted histories, baselines</t>
        </is>
      </c>
      <c r="D18" s="2" t="inlineStr">
        <is>
          <t>Built once per run</t>
        </is>
      </c>
      <c r="E18" s="2" t="inlineStr">
        <is>
          <t>Done</t>
        </is>
      </c>
      <c r="F18" s="2" t="n"/>
      <c r="G18" s="2" t="inlineStr">
        <is>
          <t>2026-10-31</t>
        </is>
      </c>
      <c r="H18" s="2" t="n"/>
      <c r="I18" s="2" t="n"/>
    </row>
    <row r="19">
      <c r="A19" s="2" t="inlineStr">
        <is>
          <t>T4.2</t>
        </is>
      </c>
      <c r="B19" s="2" t="inlineStr">
        <is>
          <t>S4</t>
        </is>
      </c>
      <c r="C19" s="2" t="inlineStr">
        <is>
          <t>FD-01 suspicious transfer</t>
        </is>
      </c>
      <c r="D19" s="2" t="inlineStr">
        <is>
          <t>S2–S4 detected; L2 not Medium+</t>
        </is>
      </c>
      <c r="E19" s="2" t="inlineStr">
        <is>
          <t>Done</t>
        </is>
      </c>
      <c r="F19" s="2" t="n"/>
      <c r="G19" s="2" t="inlineStr">
        <is>
          <t>2026-10-31</t>
        </is>
      </c>
      <c r="H19" s="2" t="n"/>
      <c r="I19" s="2" t="n"/>
    </row>
    <row r="20">
      <c r="A20" s="2" t="inlineStr">
        <is>
          <t>T4.3</t>
        </is>
      </c>
      <c r="B20" s="2" t="inlineStr">
        <is>
          <t>S4</t>
        </is>
      </c>
      <c r="C20" s="2" t="inlineStr">
        <is>
          <t>FD-02 shared device</t>
        </is>
      </c>
      <c r="D20" s="2" t="inlineStr">
        <is>
          <t>S5 device High; L1 Low</t>
        </is>
      </c>
      <c r="E20" s="2" t="inlineStr">
        <is>
          <t>Done</t>
        </is>
      </c>
      <c r="F20" s="2" t="n"/>
      <c r="G20" s="2" t="inlineStr">
        <is>
          <t>2026-10-31</t>
        </is>
      </c>
      <c r="H20" s="2" t="n"/>
      <c r="I20" s="2" t="n"/>
    </row>
    <row r="21">
      <c r="A21" s="2" t="inlineStr">
        <is>
          <t>T4.4</t>
        </is>
      </c>
      <c r="B21" s="2" t="inlineStr">
        <is>
          <t>S4</t>
        </is>
      </c>
      <c r="C21" s="2" t="inlineStr">
        <is>
          <t>FD-03 account takeover</t>
        </is>
      </c>
      <c r="D21" s="2" t="inlineStr">
        <is>
          <t>S1 High; L3 Low; L4 none</t>
        </is>
      </c>
      <c r="E21" s="2" t="inlineStr">
        <is>
          <t>Done</t>
        </is>
      </c>
      <c r="F21" s="2" t="n"/>
      <c r="G21" s="2" t="inlineStr">
        <is>
          <t>2026-10-31</t>
        </is>
      </c>
      <c r="H21" s="2" t="n"/>
      <c r="I21" s="2" t="n"/>
    </row>
    <row r="22">
      <c r="A22" s="2" t="inlineStr">
        <is>
          <t>T4.5</t>
        </is>
      </c>
      <c r="B22" s="2" t="inlineStr">
        <is>
          <t>S4</t>
        </is>
      </c>
      <c r="C22" s="2" t="inlineStr">
        <is>
          <t>FD-05 loan application ring</t>
        </is>
      </c>
      <c r="D22" s="2" t="inlineStr">
        <is>
          <t>S5 High</t>
        </is>
      </c>
      <c r="E22" s="2" t="inlineStr">
        <is>
          <t>Done</t>
        </is>
      </c>
      <c r="F22" s="2" t="n"/>
      <c r="G22" s="2" t="inlineStr">
        <is>
          <t>2026-10-31</t>
        </is>
      </c>
      <c r="H22" s="2" t="n"/>
      <c r="I22" s="2" t="n"/>
    </row>
    <row r="23">
      <c r="A23" s="2" t="inlineStr">
        <is>
          <t>T4.6</t>
        </is>
      </c>
      <c r="B23" s="2" t="inlineStr">
        <is>
          <t>S4</t>
        </is>
      </c>
      <c r="C23" s="2" t="inlineStr">
        <is>
          <t>Scoring, floors, fingerprints, insert-only persistence</t>
        </is>
      </c>
      <c r="D23" s="2" t="inlineStr">
        <is>
          <t>Re-run adds 0 alerts</t>
        </is>
      </c>
      <c r="E23" s="2" t="inlineStr">
        <is>
          <t>Done</t>
        </is>
      </c>
      <c r="F23" s="2" t="n"/>
      <c r="G23" s="2" t="inlineStr">
        <is>
          <t>2026-10-31</t>
        </is>
      </c>
      <c r="H23" s="2" t="n"/>
      <c r="I23" s="2" t="n"/>
    </row>
    <row r="24">
      <c r="A24" s="2" t="inlineStr">
        <is>
          <t>T4.7</t>
        </is>
      </c>
      <c r="B24" s="2" t="inlineStr">
        <is>
          <t>S4</t>
        </is>
      </c>
      <c r="C24" s="2" t="inlineStr">
        <is>
          <t>FD-06 cross-system correlation + hub exclusion</t>
        </is>
      </c>
      <c r="D24" s="2" t="inlineStr">
        <is>
          <t>S5+S6 in one component</t>
        </is>
      </c>
      <c r="E24" s="2" t="inlineStr">
        <is>
          <t>Done</t>
        </is>
      </c>
      <c r="F24" s="2" t="n"/>
      <c r="G24" s="2" t="inlineStr">
        <is>
          <t>2026-10-31</t>
        </is>
      </c>
      <c r="H24" s="2" t="n"/>
      <c r="I24" s="2" t="n"/>
    </row>
    <row r="25">
      <c r="A25" s="2" t="inlineStr">
        <is>
          <t>T4.8</t>
        </is>
      </c>
      <c r="B25" s="2" t="inlineStr">
        <is>
          <t>S4</t>
        </is>
      </c>
      <c r="C25" s="2" t="inlineStr">
        <is>
          <t>Case builder + /api/detect</t>
        </is>
      </c>
      <c r="D25" s="2" t="inlineStr">
        <is>
          <t>Re-run adds 0 cases</t>
        </is>
      </c>
      <c r="E25" s="2" t="inlineStr">
        <is>
          <t>Done</t>
        </is>
      </c>
      <c r="F25" s="2" t="n"/>
      <c r="G25" s="2" t="inlineStr">
        <is>
          <t>2026-10-31</t>
        </is>
      </c>
      <c r="H25" s="2" t="inlineStr"/>
      <c r="I25" s="2" t="inlineStr">
        <is>
          <t>Cases group every Medium/High alert sharing an entity; FD-06 only when a group spans ≥2 customers or products</t>
        </is>
      </c>
    </row>
    <row r="26">
      <c r="A26" s="2" t="inlineStr">
        <is>
          <t>T4.9</t>
        </is>
      </c>
      <c r="B26" s="2" t="inlineStr">
        <is>
          <t>S4</t>
        </is>
      </c>
      <c r="C26" s="2" t="inlineStr">
        <is>
          <t>Detection + integrity tests on seeds 1–3</t>
        </is>
      </c>
      <c r="D26" s="2" t="inlineStr">
        <is>
          <t>vitest green</t>
        </is>
      </c>
      <c r="E26" s="2" t="inlineStr">
        <is>
          <t>Done</t>
        </is>
      </c>
      <c r="F26" s="2" t="n"/>
      <c r="G26" s="2" t="inlineStr">
        <is>
          <t>2026-10-31</t>
        </is>
      </c>
      <c r="H26" s="2" t="n"/>
      <c r="I26" s="2" t="n"/>
    </row>
    <row r="27">
      <c r="A27" s="2" t="inlineStr">
        <is>
          <t>T5.1</t>
        </is>
      </c>
      <c r="B27" s="2" t="inlineStr">
        <is>
          <t>S5</t>
        </is>
      </c>
      <c r="C27" s="2" t="inlineStr">
        <is>
          <t>App shell, nav, shared UI components</t>
        </is>
      </c>
      <c r="D27" s="2" t="inlineStr">
        <is>
          <t>All routes reachable</t>
        </is>
      </c>
      <c r="E27" s="2" t="inlineStr">
        <is>
          <t>Done</t>
        </is>
      </c>
      <c r="F27" s="2" t="n"/>
      <c r="G27" s="2" t="inlineStr">
        <is>
          <t>2026-10-31</t>
        </is>
      </c>
      <c r="H27" s="2" t="n"/>
      <c r="I27" s="2" t="n"/>
    </row>
    <row r="28">
      <c r="A28" s="2" t="inlineStr">
        <is>
          <t>T5.2</t>
        </is>
      </c>
      <c r="B28" s="2" t="inlineStr">
        <is>
          <t>S5</t>
        </is>
      </c>
      <c r="C28" s="2" t="inlineStr">
        <is>
          <t>Dashboard + /api/dashboard</t>
        </is>
      </c>
      <c r="D28" s="2" t="inlineStr">
        <is>
          <t>Counts match DB</t>
        </is>
      </c>
      <c r="E28" s="2" t="inlineStr">
        <is>
          <t>Done</t>
        </is>
      </c>
      <c r="F28" s="2" t="n"/>
      <c r="G28" s="2" t="inlineStr">
        <is>
          <t>2026-10-31</t>
        </is>
      </c>
      <c r="H28" s="2" t="inlineStr"/>
      <c r="I28" s="2" t="inlineStr">
        <is>
          <t>Charts as plain HTML bars (Recharts dropped): status colours + labels for risk, single hue for categories</t>
        </is>
      </c>
    </row>
    <row r="29">
      <c r="A29" s="2" t="inlineStr">
        <is>
          <t>T5.3</t>
        </is>
      </c>
      <c r="B29" s="2" t="inlineStr">
        <is>
          <t>S5</t>
        </is>
      </c>
      <c r="C29" s="2" t="inlineStr">
        <is>
          <t>Ingest screen: sample picker, upload, result cards, history</t>
        </is>
      </c>
      <c r="D29" s="2" t="inlineStr">
        <is>
          <t>Bad file shows 5 issues</t>
        </is>
      </c>
      <c r="E29" s="2" t="inlineStr">
        <is>
          <t>Done</t>
        </is>
      </c>
      <c r="F29" s="2" t="n"/>
      <c r="G29" s="2" t="inlineStr">
        <is>
          <t>2026-10-31</t>
        </is>
      </c>
      <c r="H29" s="2" t="n"/>
      <c r="I29" s="2" t="n"/>
    </row>
    <row r="30">
      <c r="A30" s="2" t="inlineStr">
        <is>
          <t>T5.4</t>
        </is>
      </c>
      <c r="B30" s="2" t="inlineStr">
        <is>
          <t>S5</t>
        </is>
      </c>
      <c r="C30" s="2" t="inlineStr">
        <is>
          <t>Alerts list: tabs + 6 filters + /api/alerts</t>
        </is>
      </c>
      <c r="D30" s="2" t="inlineStr">
        <is>
          <t>Each filter narrows results</t>
        </is>
      </c>
      <c r="E30" s="2" t="inlineStr">
        <is>
          <t>Done</t>
        </is>
      </c>
      <c r="F30" s="2" t="n"/>
      <c r="G30" s="2" t="inlineStr">
        <is>
          <t>2026-10-31</t>
        </is>
      </c>
      <c r="H30" s="2" t="n"/>
      <c r="I30" s="2" t="n"/>
    </row>
    <row r="31">
      <c r="A31" s="2" t="inlineStr">
        <is>
          <t>T5.5</t>
        </is>
      </c>
      <c r="B31" s="2" t="inlineStr">
        <is>
          <t>S5</t>
        </is>
      </c>
      <c r="C31" s="2" t="inlineStr">
        <is>
          <t>Alert detail: primary event, why-flagged table, source rows</t>
        </is>
      </c>
      <c r="D31" s="2" t="inlineStr">
        <is>
          <t>Every evidence ref resolves</t>
        </is>
      </c>
      <c r="E31" s="2" t="inlineStr">
        <is>
          <t>Done</t>
        </is>
      </c>
      <c r="F31" s="2" t="n"/>
      <c r="G31" s="2" t="inlineStr">
        <is>
          <t>2026-10-31</t>
        </is>
      </c>
      <c r="H31" s="2" t="n"/>
      <c r="I31" s="2" t="n"/>
    </row>
    <row r="32">
      <c r="A32" s="2" t="inlineStr">
        <is>
          <t>T6.1</t>
        </is>
      </c>
      <c r="B32" s="2" t="inlineStr">
        <is>
          <t>S6</t>
        </is>
      </c>
      <c r="C32" s="2" t="inlineStr">
        <is>
          <t>Case queue + case detail + merged timeline</t>
        </is>
      </c>
      <c r="D32" s="2" t="inlineStr">
        <is>
          <t>FD-06 case shows all members</t>
        </is>
      </c>
      <c r="E32" s="2" t="inlineStr">
        <is>
          <t>Done</t>
        </is>
      </c>
      <c r="F32" s="2" t="n"/>
      <c r="G32" s="2" t="inlineStr">
        <is>
          <t>2026-10-31</t>
        </is>
      </c>
      <c r="H32" s="2" t="n"/>
      <c r="I32" s="2" t="n"/>
    </row>
    <row r="33">
      <c r="A33" s="2" t="inlineStr">
        <is>
          <t>T6.2</t>
        </is>
      </c>
      <c r="B33" s="2" t="inlineStr">
        <is>
          <t>S6</t>
        </is>
      </c>
      <c r="C33" s="2" t="inlineStr">
        <is>
          <t>Decision form + history + revised level/category</t>
        </is>
      </c>
      <c r="D33" s="2" t="inlineStr">
        <is>
          <t>Persists after refresh; alert unchanged</t>
        </is>
      </c>
      <c r="E33" s="2" t="inlineStr">
        <is>
          <t>Done</t>
        </is>
      </c>
      <c r="F33" s="2" t="n"/>
      <c r="G33" s="2" t="inlineStr">
        <is>
          <t>2026-10-31</t>
        </is>
      </c>
      <c r="H33" s="2" t="n"/>
      <c r="I33" s="2" t="n"/>
    </row>
    <row r="34">
      <c r="A34" s="2" t="inlineStr">
        <is>
          <t>T6.3</t>
        </is>
      </c>
      <c r="B34" s="2" t="inlineStr">
        <is>
          <t>S6</t>
        </is>
      </c>
      <c r="C34" s="2" t="inlineStr">
        <is>
          <t>Customer investigation page + timeline</t>
        </is>
      </c>
      <c r="D34" s="2" t="inlineStr">
        <is>
          <t>Linked devices list other customers</t>
        </is>
      </c>
      <c r="E34" s="2" t="inlineStr">
        <is>
          <t>Done</t>
        </is>
      </c>
      <c r="F34" s="2" t="n"/>
      <c r="G34" s="2" t="inlineStr">
        <is>
          <t>2026-10-31</t>
        </is>
      </c>
      <c r="H34" s="2" t="n"/>
      <c r="I34" s="2" t="n"/>
    </row>
    <row r="35">
      <c r="A35" s="2" t="inlineStr">
        <is>
          <t>T6.4</t>
        </is>
      </c>
      <c r="B35" s="2" t="inlineStr">
        <is>
          <t>S6</t>
        </is>
      </c>
      <c r="C35" s="2" t="inlineStr">
        <is>
          <t>Rules page</t>
        </is>
      </c>
      <c r="D35" s="2" t="inlineStr">
        <is>
          <t>Shows policy version + weights</t>
        </is>
      </c>
      <c r="E35" s="2" t="inlineStr">
        <is>
          <t>Done</t>
        </is>
      </c>
      <c r="F35" s="2" t="n"/>
      <c r="G35" s="2" t="inlineStr">
        <is>
          <t>2026-10-31</t>
        </is>
      </c>
      <c r="H35" s="2" t="n"/>
      <c r="I35" s="2" t="n"/>
    </row>
    <row r="36">
      <c r="A36" s="2" t="inlineStr">
        <is>
          <t>T6.5</t>
        </is>
      </c>
      <c r="B36" s="2" t="inlineStr">
        <is>
          <t>S6</t>
        </is>
      </c>
      <c r="C36" s="2" t="inlineStr">
        <is>
          <t>Evaluation page + /api/evaluate</t>
        </is>
      </c>
      <c r="D36" s="2" t="inlineStr">
        <is>
          <t>All seed-3 scenarios pass</t>
        </is>
      </c>
      <c r="E36" s="2" t="inlineStr">
        <is>
          <t>Done</t>
        </is>
      </c>
      <c r="F36" s="2" t="n"/>
      <c r="G36" s="2" t="inlineStr">
        <is>
          <t>2026-10-31</t>
        </is>
      </c>
      <c r="H36" s="2" t="n"/>
      <c r="I36" s="2" t="n"/>
    </row>
    <row r="37">
      <c r="A37" s="2" t="inlineStr">
        <is>
          <t>T7.1</t>
        </is>
      </c>
      <c r="B37" s="2" t="inlineStr">
        <is>
          <t>S7</t>
        </is>
      </c>
      <c r="C37" s="2" t="inlineStr">
        <is>
          <t>Reset workspace + error handling pass</t>
        </is>
      </c>
      <c r="D37" s="2" t="inlineStr">
        <is>
          <t>No stack traces reach the client</t>
        </is>
      </c>
      <c r="E37" s="2" t="inlineStr">
        <is>
          <t>Not started</t>
        </is>
      </c>
      <c r="F37" s="2" t="n"/>
      <c r="G37" s="2" t="n"/>
      <c r="H37" s="2" t="n"/>
      <c r="I37" s="2" t="n"/>
    </row>
    <row r="38">
      <c r="A38" s="2" t="inlineStr">
        <is>
          <t>T7.2</t>
        </is>
      </c>
      <c r="B38" s="2" t="inlineStr">
        <is>
          <t>S7</t>
        </is>
      </c>
      <c r="C38" s="2" t="inlineStr">
        <is>
          <t>README + KNOWN_LIMITATIONS</t>
        </is>
      </c>
      <c r="D38" s="2" t="inlineStr">
        <is>
          <t>Run steps work from a clean clone</t>
        </is>
      </c>
      <c r="E38" s="2" t="inlineStr">
        <is>
          <t>Not started</t>
        </is>
      </c>
      <c r="F38" s="2" t="n"/>
      <c r="G38" s="2" t="n"/>
      <c r="H38" s="2" t="n"/>
      <c r="I38" s="2" t="n"/>
    </row>
    <row r="39">
      <c r="A39" s="2" t="inlineStr">
        <is>
          <t>T7.3</t>
        </is>
      </c>
      <c r="B39" s="2" t="inlineStr">
        <is>
          <t>S7</t>
        </is>
      </c>
      <c r="C39" s="2" t="inlineStr">
        <is>
          <t>Deploy (Vercel + Turso)</t>
        </is>
      </c>
      <c r="D39" s="2" t="inlineStr">
        <is>
          <t>Deployed URL passes §11</t>
        </is>
      </c>
      <c r="E39" s="2" t="inlineStr">
        <is>
          <t>Not started</t>
        </is>
      </c>
      <c r="F39" s="2" t="n"/>
      <c r="G39" s="2" t="n"/>
      <c r="H39" s="2" t="n"/>
      <c r="I39" s="2" t="n"/>
    </row>
    <row r="40">
      <c r="A40" s="2" t="inlineStr">
        <is>
          <t>T7.4</t>
        </is>
      </c>
      <c r="B40" s="2" t="inlineStr">
        <is>
          <t>S7</t>
        </is>
      </c>
      <c r="C40" s="2" t="inlineStr">
        <is>
          <t>Demo rehearsal on seed 3</t>
        </is>
      </c>
      <c r="D40" s="2" t="inlineStr">
        <is>
          <t>§11 completed in ≤ 4 min</t>
        </is>
      </c>
      <c r="E40" s="2" t="inlineStr">
        <is>
          <t>Not started</t>
        </is>
      </c>
      <c r="F40" s="2" t="n"/>
      <c r="G40" s="2" t="n"/>
      <c r="H40" s="2" t="n"/>
      <c r="I40" s="2" t="n"/>
    </row>
  </sheetData>
  <autoFilter ref="A1:I40"/>
  <conditionalFormatting sqref="A2:I40">
    <cfRule type="expression" priority="1" dxfId="0">
      <formula>$E2="Done"</formula>
    </cfRule>
    <cfRule type="expression" priority="2" dxfId="1">
      <formula>$E2="In progress"</formula>
    </cfRule>
    <cfRule type="expression" priority="3" dxfId="2">
      <formula>$E2="Blocked"</formula>
    </cfRule>
    <cfRule type="expression" priority="4" dxfId="3">
      <formula>$E2="Cut"</formula>
    </cfRule>
  </conditionalFormatting>
  <dataValidations count="1">
    <dataValidation sqref="E2:E40" showDropDown="0" showInputMessage="0" showErrorMessage="0" allowBlank="0" type="list">
      <formula1>"Not started,In progress,Done,Blocked,Cut"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45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ID</t>
        </is>
      </c>
      <c r="B1" s="1" t="inlineStr">
        <is>
          <t>Official requirement</t>
        </is>
      </c>
      <c r="C1" s="1" t="inlineStr">
        <is>
          <t>Implemented by</t>
        </is>
      </c>
      <c r="D1" s="1" t="inlineStr">
        <is>
          <t>Status</t>
        </is>
      </c>
      <c r="E1" s="1" t="inlineStr">
        <is>
          <t>Verified on</t>
        </is>
      </c>
      <c r="F1" s="1" t="inlineStr">
        <is>
          <t>Notes</t>
        </is>
      </c>
    </row>
    <row r="2">
      <c r="A2" s="2" t="inlineStr">
        <is>
          <t>R1</t>
        </is>
      </c>
      <c r="B2" s="2" t="inlineStr">
        <is>
          <t>Upload or select data from different systems</t>
        </is>
      </c>
      <c r="C2" s="2" t="inlineStr">
        <is>
          <t>Ingest screen: upload + sample picker</t>
        </is>
      </c>
      <c r="D2" s="2" t="inlineStr">
        <is>
          <t>Verified</t>
        </is>
      </c>
      <c r="E2" s="2" t="inlineStr">
        <is>
          <t>2026-10-31</t>
        </is>
      </c>
      <c r="F2" s="2" t="inlineStr">
        <is>
          <t>Ingest screen: sample picker + upload (screenshot-checked)</t>
        </is>
      </c>
    </row>
    <row r="3">
      <c r="A3" s="2" t="inlineStr">
        <is>
          <t>R2</t>
        </is>
      </c>
      <c r="B3" s="2" t="inlineStr">
        <is>
          <t>Customer/account, transaction, device/login data</t>
        </is>
      </c>
      <c r="C3" s="2" t="inlineStr">
        <is>
          <t>customers, accounts, transactions, login_events</t>
        </is>
      </c>
      <c r="D3" s="2" t="inlineStr">
        <is>
          <t>Verified</t>
        </is>
      </c>
      <c r="E3" s="2" t="inlineStr">
        <is>
          <t>2026-10-31</t>
        </is>
      </c>
      <c r="F3" s="2" t="inlineStr">
        <is>
          <t>tests/ingest.test.ts</t>
        </is>
      </c>
    </row>
    <row r="4">
      <c r="A4" s="2" t="inlineStr">
        <is>
          <t>R3</t>
        </is>
      </c>
      <c r="B4" s="2" t="inlineStr">
        <is>
          <t>CSV, Excel, JSON</t>
        </is>
      </c>
      <c r="C4" s="2" t="inlineStr">
        <is>
          <t>lib/ingest/parse.ts</t>
        </is>
      </c>
      <c r="D4" s="2" t="inlineStr">
        <is>
          <t>Verified</t>
        </is>
      </c>
      <c r="E4" s="2" t="inlineStr">
        <is>
          <t>2026-10-31</t>
        </is>
      </c>
      <c r="F4" s="2" t="inlineStr">
        <is>
          <t>tests/ingest.test.ts</t>
        </is>
      </c>
    </row>
    <row r="5">
      <c r="A5" s="2" t="inlineStr">
        <is>
          <t>R4</t>
        </is>
      </c>
      <c r="B5" s="2" t="inlineStr">
        <is>
          <t>Validate; flag missing mandatory fields; never silently ignore</t>
        </is>
      </c>
      <c r="C5" s="2" t="inlineStr">
        <is>
          <t>Validation buckets + error report</t>
        </is>
      </c>
      <c r="D5" s="2" t="inlineStr">
        <is>
          <t>Verified</t>
        </is>
      </c>
      <c r="E5" s="2" t="inlineStr">
        <is>
          <t>2026-10-31</t>
        </is>
      </c>
      <c r="F5" s="2" t="inlineStr">
        <is>
          <t>tests/ingest.test.ts</t>
        </is>
      </c>
    </row>
    <row r="6">
      <c r="A6" s="2" t="inlineStr">
        <is>
          <t>R5</t>
        </is>
      </c>
      <c r="B6" s="2" t="inlineStr">
        <is>
          <t>Common structure linked by shared IDs</t>
        </is>
      </c>
      <c r="C6" s="2" t="inlineStr">
        <is>
          <t>Schema + application_id on disbursements</t>
        </is>
      </c>
      <c r="D6" s="2" t="inlineStr">
        <is>
          <t>Verified</t>
        </is>
      </c>
      <c r="E6" s="2" t="inlineStr">
        <is>
          <t>2026-10-31</t>
        </is>
      </c>
      <c r="F6" s="2" t="inlineStr">
        <is>
          <t>tests/ingest.test.ts</t>
        </is>
      </c>
    </row>
    <row r="7">
      <c r="A7" s="2" t="inlineStr">
        <is>
          <t>R6</t>
        </is>
      </c>
      <c r="B7" s="2" t="inlineStr">
        <is>
          <t>Configurable rules + statistics</t>
        </is>
      </c>
      <c r="C7" s="2" t="inlineStr">
        <is>
          <t>config/policy.json + Rules page</t>
        </is>
      </c>
      <c r="D7" s="2" t="inlineStr">
        <is>
          <t>Verified</t>
        </is>
      </c>
      <c r="E7" s="2" t="inlineStr">
        <is>
          <t>2026-10-31</t>
        </is>
      </c>
      <c r="F7" s="2" t="inlineStr">
        <is>
          <t>config/policy.json rendered on /rules</t>
        </is>
      </c>
    </row>
    <row r="8">
      <c r="A8" s="2" t="inlineStr">
        <is>
          <t>R7</t>
        </is>
      </c>
      <c r="B8" s="2" t="inlineStr">
        <is>
          <t>Suspicious transfers</t>
        </is>
      </c>
      <c r="C8" s="2" t="inlineStr">
        <is>
          <t>FD-01</t>
        </is>
      </c>
      <c r="D8" s="2" t="inlineStr">
        <is>
          <t>Verified</t>
        </is>
      </c>
      <c r="E8" s="2" t="inlineStr">
        <is>
          <t>2026-10-31</t>
        </is>
      </c>
      <c r="F8" s="2" t="inlineStr">
        <is>
          <t>tests/detect.test.ts + tests/integrity.test.ts (seeds 1–3)</t>
        </is>
      </c>
    </row>
    <row r="9">
      <c r="A9" s="2" t="inlineStr">
        <is>
          <t>R8</t>
        </is>
      </c>
      <c r="B9" s="2" t="inlineStr">
        <is>
          <t>Shared devices and whether suspicious</t>
        </is>
      </c>
      <c r="C9" s="2" t="inlineStr">
        <is>
          <t>FD-02</t>
        </is>
      </c>
      <c r="D9" s="2" t="inlineStr">
        <is>
          <t>Verified</t>
        </is>
      </c>
      <c r="E9" s="2" t="inlineStr">
        <is>
          <t>2026-10-31</t>
        </is>
      </c>
      <c r="F9" s="2" t="inlineStr">
        <is>
          <t>tests/detect.test.ts + tests/integrity.test.ts (seeds 1–3)</t>
        </is>
      </c>
    </row>
    <row r="10">
      <c r="A10" s="2" t="inlineStr">
        <is>
          <t>R9</t>
        </is>
      </c>
      <c r="B10" s="2" t="inlineStr">
        <is>
          <t>Repeated login failures → success / sensitive activity</t>
        </is>
      </c>
      <c r="C10" s="2" t="inlineStr">
        <is>
          <t>FD-03</t>
        </is>
      </c>
      <c r="D10" s="2" t="inlineStr">
        <is>
          <t>Verified</t>
        </is>
      </c>
      <c r="E10" s="2" t="inlineStr">
        <is>
          <t>2026-10-31</t>
        </is>
      </c>
      <c r="F10" s="2" t="inlineStr">
        <is>
          <t>tests/detect.test.ts + tests/integrity.test.ts (seeds 1–3)</t>
        </is>
      </c>
    </row>
    <row r="11">
      <c r="A11" s="2" t="inlineStr">
        <is>
          <t>R10</t>
        </is>
      </c>
      <c r="B11" s="2" t="inlineStr">
        <is>
          <t>Legitimate lookalikes</t>
        </is>
      </c>
      <c r="C11" s="2" t="inlineStr">
        <is>
          <t>Mitigations + Reviewed tab + L1–L4</t>
        </is>
      </c>
      <c r="D11" s="2" t="inlineStr">
        <is>
          <t>Verified</t>
        </is>
      </c>
      <c r="E11" s="2" t="inlineStr">
        <is>
          <t>2026-10-31</t>
        </is>
      </c>
      <c r="F11" s="2" t="inlineStr">
        <is>
          <t>tests/detect.test.ts + tests/integrity.test.ts (seeds 1–3)</t>
        </is>
      </c>
    </row>
    <row r="12">
      <c r="A12" s="2" t="inlineStr">
        <is>
          <t>R11</t>
        </is>
      </c>
      <c r="B12" s="2" t="inlineStr">
        <is>
          <t>At least one extra scenario</t>
        </is>
      </c>
      <c r="C12" s="2" t="inlineStr">
        <is>
          <t>FD-05 (+ FD-06)</t>
        </is>
      </c>
      <c r="D12" s="2" t="inlineStr">
        <is>
          <t>Verified</t>
        </is>
      </c>
      <c r="E12" s="2" t="inlineStr">
        <is>
          <t>2026-10-31</t>
        </is>
      </c>
      <c r="F12" s="2" t="inlineStr">
        <is>
          <t>tests/detect.test.ts + tests/integrity.test.ts (seeds 1–3)</t>
        </is>
      </c>
    </row>
    <row r="13">
      <c r="A13" s="2" t="inlineStr">
        <is>
          <t>R12</t>
        </is>
      </c>
      <c r="B13" s="2" t="inlineStr">
        <is>
          <t>Multi-indicator risk classification</t>
        </is>
      </c>
      <c r="C13" s="2" t="inlineStr">
        <is>
          <t>lib/detect/score.ts</t>
        </is>
      </c>
      <c r="D13" s="2" t="inlineStr">
        <is>
          <t>Verified</t>
        </is>
      </c>
      <c r="E13" s="2" t="inlineStr">
        <is>
          <t>2026-10-31</t>
        </is>
      </c>
      <c r="F13" s="2" t="inlineStr">
        <is>
          <t>tests/detect.test.ts + tests/integrity.test.ts (seeds 1–3)</t>
        </is>
      </c>
    </row>
    <row r="14">
      <c r="A14" s="2" t="inlineStr">
        <is>
          <t>R13</t>
        </is>
      </c>
      <c r="B14" s="2" t="inlineStr">
        <is>
          <t>Normal high value ≠ fraud; after login risk scores higher</t>
        </is>
      </c>
      <c r="C14" s="2" t="inlineStr">
        <is>
          <t>FD-01 WITHIN_CUSTOMER_NORM / PRECEDED_BY_LOGIN_RISK</t>
        </is>
      </c>
      <c r="D14" s="2" t="inlineStr">
        <is>
          <t>Verified</t>
        </is>
      </c>
      <c r="E14" s="2" t="inlineStr">
        <is>
          <t>2026-10-31</t>
        </is>
      </c>
      <c r="F14" s="2" t="inlineStr">
        <is>
          <t>tests/detect.test.ts + tests/integrity.test.ts (seeds 1–3)</t>
        </is>
      </c>
    </row>
    <row r="15">
      <c r="A15" s="2" t="inlineStr">
        <is>
          <t>R14</t>
        </is>
      </c>
      <c r="B15" s="2" t="inlineStr">
        <is>
          <t>Explain contributing factors</t>
        </is>
      </c>
      <c r="C15" s="2" t="inlineStr">
        <is>
          <t>Why-flagged table</t>
        </is>
      </c>
      <c r="D15" s="2" t="inlineStr">
        <is>
          <t>Verified</t>
        </is>
      </c>
      <c r="E15" s="2" t="inlineStr">
        <is>
          <t>2026-10-31</t>
        </is>
      </c>
      <c r="F15" s="2" t="inlineStr">
        <is>
          <t>Why-flagged table with weights, details, evidence links</t>
        </is>
      </c>
    </row>
    <row r="16">
      <c r="A16" s="2" t="inlineStr">
        <is>
          <t>R15</t>
        </is>
      </c>
      <c r="B16" s="2" t="inlineStr">
        <is>
          <t>Dashboard metrics</t>
        </is>
      </c>
      <c r="C16" s="2" t="inlineStr">
        <is>
          <t>Dashboard screen</t>
        </is>
      </c>
      <c r="D16" s="2" t="inlineStr">
        <is>
          <t>Verified</t>
        </is>
      </c>
      <c r="E16" s="2" t="inlineStr">
        <is>
          <t>2026-10-31</t>
        </is>
      </c>
      <c r="F16" s="2" t="inlineStr">
        <is>
          <t>Dashboard: records, flagged, risk distribution, categories, products</t>
        </is>
      </c>
    </row>
    <row r="17">
      <c r="A17" s="2" t="inlineStr">
        <is>
          <t>R16</t>
        </is>
      </c>
      <c r="B17" s="2" t="inlineStr">
        <is>
          <t>Filters: customer, transaction, product, risk, date, detector</t>
        </is>
      </c>
      <c r="C17" s="2" t="inlineStr">
        <is>
          <t>Alerts screen + /api/alerts</t>
        </is>
      </c>
      <c r="D17" s="2" t="inlineStr">
        <is>
          <t>Verified</t>
        </is>
      </c>
      <c r="E17" s="2" t="inlineStr">
        <is>
          <t>2026-10-31</t>
        </is>
      </c>
      <c r="F17" s="2" t="inlineStr">
        <is>
          <t>All 6 filters checked against /api/alerts on seed 3</t>
        </is>
      </c>
    </row>
    <row r="18">
      <c r="A18" s="2" t="inlineStr">
        <is>
          <t>R17</t>
        </is>
      </c>
      <c r="B18" s="2" t="inlineStr">
        <is>
          <t>Alert shows event, reasons, supporting records</t>
        </is>
      </c>
      <c r="C18" s="2" t="inlineStr">
        <is>
          <t>Alert detail</t>
        </is>
      </c>
      <c r="D18" s="2" t="inlineStr">
        <is>
          <t>Verified</t>
        </is>
      </c>
      <c r="E18" s="2" t="inlineStr">
        <is>
          <t>2026-10-31</t>
        </is>
      </c>
      <c r="F18" s="2" t="inlineStr">
        <is>
          <t>Alert detail: underlying event, reasons, source rows with file:row</t>
        </is>
      </c>
    </row>
    <row r="19">
      <c r="A19" s="2" t="inlineStr">
        <is>
          <t>R18</t>
        </is>
      </c>
      <c r="B19" s="2" t="inlineStr">
        <is>
          <t>Case: ID, customer/account, category, risk, evidence, status</t>
        </is>
      </c>
      <c r="C19" s="2" t="inlineStr">
        <is>
          <t>cases + case_decisions</t>
        </is>
      </c>
      <c r="D19" s="2" t="inlineStr">
        <is>
          <t>Verified</t>
        </is>
      </c>
      <c r="E19" s="2" t="inlineStr">
        <is>
          <t>2026-10-31</t>
        </is>
      </c>
      <c r="F19" s="2" t="inlineStr">
        <is>
          <t>Case: ID, customer/account, category, risk, evidence, status (tests/cases.test.ts)</t>
        </is>
      </c>
    </row>
    <row r="20">
      <c r="A20" s="2" t="inlineStr">
        <is>
          <t>R19</t>
        </is>
      </c>
      <c r="B20" s="2" t="inlineStr">
        <is>
          <t>Record a decision</t>
        </is>
      </c>
      <c r="C20" s="2" t="inlineStr">
        <is>
          <t>Case decision form</t>
        </is>
      </c>
      <c r="D20" s="2" t="inlineStr">
        <is>
          <t>Verified</t>
        </is>
      </c>
      <c r="E20" s="2" t="inlineStr">
        <is>
          <t>2026-10-31</t>
        </is>
      </c>
      <c r="F20" s="2" t="inlineStr">
        <is>
          <t>Decision form; persisted across reload in browser E2E</t>
        </is>
      </c>
    </row>
    <row r="21">
      <c r="A21" s="2" t="inlineStr">
        <is>
          <t>R20</t>
        </is>
      </c>
      <c r="B21" s="2" t="inlineStr">
        <is>
          <t>Preserve original alert after reclassification</t>
        </is>
      </c>
      <c r="C21" s="2" t="inlineStr">
        <is>
          <t>Insert-only alerts + trigger</t>
        </is>
      </c>
      <c r="D21" s="2" t="inlineStr">
        <is>
          <t>Verified</t>
        </is>
      </c>
      <c r="E21" s="2" t="inlineStr">
        <is>
          <t>2026-10-31</t>
        </is>
      </c>
      <c r="F21" s="2" t="inlineStr">
        <is>
          <t>Alerts byte-identical after decision + reclassification (tests/cases.test.ts)</t>
        </is>
      </c>
    </row>
  </sheetData>
  <autoFilter ref="A1:F21"/>
  <conditionalFormatting sqref="A2:F21">
    <cfRule type="expression" priority="1" dxfId="0">
      <formula>$D2="Verified"</formula>
    </cfRule>
    <cfRule type="expression" priority="2" dxfId="2">
      <formula>$D2="Failing"</formula>
    </cfRule>
  </conditionalFormatting>
  <dataValidations count="1">
    <dataValidation sqref="D2:D21" showDropDown="0" showInputMessage="0" showErrorMessage="0" allowBlank="0" type="list">
      <formula1>"Not verified,Verified,Failing"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2026-10-31T06:13:47Z</dcterms:created>
  <dcterms:modified xsi:type="dcterms:W3CDTF">2026-10-31T06:48:51Z</dcterms:modified>
</cp:coreProperties>
</file>